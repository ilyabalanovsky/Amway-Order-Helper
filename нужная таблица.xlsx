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liya\Downloads\"/>
    </mc:Choice>
  </mc:AlternateContent>
  <xr:revisionPtr revIDLastSave="0" documentId="8_{F2BA7285-6ADF-4468-A2DC-6CD863DA577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6.05.03" sheetId="4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5" roundtripDataChecksum="baed/cAfkTuVGwPDXZSgmJJPktVXmZz6iDrwHMJWgBo="/>
    </ext>
  </extLst>
</workbook>
</file>

<file path=xl/calcChain.xml><?xml version="1.0" encoding="utf-8"?>
<calcChain xmlns="http://schemas.openxmlformats.org/spreadsheetml/2006/main">
  <c r="R7" i="48" l="1"/>
  <c r="P7" i="48"/>
  <c r="O7" i="48"/>
  <c r="K7" i="48"/>
  <c r="J7" i="48"/>
  <c r="I7" i="48"/>
  <c r="H7" i="48"/>
  <c r="G7" i="48"/>
  <c r="F7" i="48"/>
  <c r="E7" i="48"/>
  <c r="C7" i="48"/>
  <c r="F6" i="48"/>
  <c r="G6" i="48" s="1"/>
  <c r="H6" i="48"/>
  <c r="L6" i="48"/>
  <c r="P6" i="48"/>
  <c r="Q6" i="48"/>
  <c r="Q7" i="48" s="1"/>
  <c r="R33" i="48"/>
  <c r="O33" i="48"/>
  <c r="J33" i="48"/>
  <c r="E33" i="48"/>
  <c r="C33" i="48"/>
  <c r="Q32" i="48"/>
  <c r="H32" i="48"/>
  <c r="F32" i="48"/>
  <c r="P32" i="48" s="1"/>
  <c r="R30" i="48"/>
  <c r="O30" i="48"/>
  <c r="J30" i="48"/>
  <c r="E30" i="48"/>
  <c r="C30" i="48"/>
  <c r="Q29" i="48"/>
  <c r="H29" i="48"/>
  <c r="F29" i="48"/>
  <c r="L29" i="48" s="1"/>
  <c r="R27" i="48"/>
  <c r="O27" i="48"/>
  <c r="J27" i="48"/>
  <c r="E27" i="48"/>
  <c r="C27" i="48"/>
  <c r="Q26" i="48"/>
  <c r="Q27" i="48" s="1"/>
  <c r="H26" i="48"/>
  <c r="H27" i="48" s="1"/>
  <c r="F26" i="48"/>
  <c r="P26" i="48" s="1"/>
  <c r="P27" i="48" s="1"/>
  <c r="R24" i="48"/>
  <c r="O24" i="48"/>
  <c r="J24" i="48"/>
  <c r="E24" i="48"/>
  <c r="C24" i="48"/>
  <c r="Q23" i="48"/>
  <c r="Q24" i="48" s="1"/>
  <c r="H23" i="48"/>
  <c r="H24" i="48" s="1"/>
  <c r="F23" i="48"/>
  <c r="P23" i="48" s="1"/>
  <c r="R21" i="48"/>
  <c r="O21" i="48"/>
  <c r="J21" i="48"/>
  <c r="E21" i="48"/>
  <c r="C21" i="48"/>
  <c r="Q20" i="48"/>
  <c r="Q21" i="48" s="1"/>
  <c r="H20" i="48"/>
  <c r="H21" i="48" s="1"/>
  <c r="F20" i="48"/>
  <c r="L20" i="48" s="1"/>
  <c r="R18" i="48"/>
  <c r="O18" i="48"/>
  <c r="J18" i="48"/>
  <c r="E18" i="48"/>
  <c r="C18" i="48"/>
  <c r="Q17" i="48"/>
  <c r="Q18" i="48" s="1"/>
  <c r="H17" i="48"/>
  <c r="H18" i="48" s="1"/>
  <c r="F17" i="48"/>
  <c r="G17" i="48" s="1"/>
  <c r="R15" i="48"/>
  <c r="O15" i="48"/>
  <c r="J15" i="48"/>
  <c r="E15" i="48"/>
  <c r="C15" i="48"/>
  <c r="Q14" i="48"/>
  <c r="H14" i="48"/>
  <c r="F14" i="48"/>
  <c r="P14" i="48" s="1"/>
  <c r="Q13" i="48"/>
  <c r="H13" i="48"/>
  <c r="F13" i="48"/>
  <c r="G13" i="48" s="1"/>
  <c r="Q12" i="48"/>
  <c r="H12" i="48"/>
  <c r="F12" i="48"/>
  <c r="L12" i="48" s="1"/>
  <c r="Q11" i="48"/>
  <c r="H11" i="48"/>
  <c r="F11" i="48"/>
  <c r="P11" i="48" s="1"/>
  <c r="Q10" i="48"/>
  <c r="H10" i="48"/>
  <c r="F10" i="48"/>
  <c r="G10" i="48" s="1"/>
  <c r="Q9" i="48"/>
  <c r="H9" i="48"/>
  <c r="F9" i="48"/>
  <c r="Q5" i="48"/>
  <c r="H5" i="48"/>
  <c r="F5" i="48"/>
  <c r="L5" i="48" s="1"/>
  <c r="Q4" i="48"/>
  <c r="H4" i="48"/>
  <c r="F4" i="48"/>
  <c r="G4" i="48" s="1"/>
  <c r="V2" i="48"/>
  <c r="I6" i="48" l="1"/>
  <c r="K6" i="48" s="1"/>
  <c r="P33" i="48"/>
  <c r="H33" i="48"/>
  <c r="J35" i="48"/>
  <c r="Q33" i="48"/>
  <c r="P29" i="48"/>
  <c r="P30" i="48" s="1"/>
  <c r="O35" i="48"/>
  <c r="L23" i="48"/>
  <c r="L24" i="48" s="1"/>
  <c r="G23" i="48"/>
  <c r="I23" i="48" s="1"/>
  <c r="P24" i="48"/>
  <c r="L17" i="48"/>
  <c r="L18" i="48" s="1"/>
  <c r="P17" i="48"/>
  <c r="P18" i="48" s="1"/>
  <c r="F21" i="48"/>
  <c r="H30" i="48"/>
  <c r="F24" i="48"/>
  <c r="Q30" i="48"/>
  <c r="F18" i="48"/>
  <c r="R35" i="48"/>
  <c r="L10" i="48"/>
  <c r="P10" i="48"/>
  <c r="G14" i="48"/>
  <c r="I14" i="48" s="1"/>
  <c r="K14" i="48" s="1"/>
  <c r="Q15" i="48"/>
  <c r="L14" i="48"/>
  <c r="E35" i="48"/>
  <c r="C35" i="48"/>
  <c r="F15" i="48"/>
  <c r="L4" i="48"/>
  <c r="L7" i="48" s="1"/>
  <c r="P4" i="48"/>
  <c r="P5" i="48"/>
  <c r="L21" i="48"/>
  <c r="I17" i="48"/>
  <c r="G18" i="48"/>
  <c r="I13" i="48"/>
  <c r="K13" i="48" s="1"/>
  <c r="I10" i="48"/>
  <c r="K10" i="48" s="1"/>
  <c r="G32" i="48"/>
  <c r="G20" i="48"/>
  <c r="L32" i="48"/>
  <c r="L9" i="48"/>
  <c r="P12" i="48"/>
  <c r="L13" i="48"/>
  <c r="G5" i="48"/>
  <c r="L11" i="48"/>
  <c r="G29" i="48"/>
  <c r="G12" i="48"/>
  <c r="I4" i="48"/>
  <c r="G11" i="48"/>
  <c r="P20" i="48"/>
  <c r="P21" i="48" s="1"/>
  <c r="F27" i="48"/>
  <c r="F33" i="48"/>
  <c r="H15" i="48"/>
  <c r="G26" i="48"/>
  <c r="G9" i="48"/>
  <c r="L26" i="48"/>
  <c r="L30" i="48"/>
  <c r="P9" i="48"/>
  <c r="F30" i="48"/>
  <c r="P13" i="48"/>
  <c r="H35" i="48" l="1"/>
  <c r="I41" i="48" s="1"/>
  <c r="Q35" i="48"/>
  <c r="F35" i="48"/>
  <c r="C41" i="48" s="1"/>
  <c r="E41" i="48" s="1"/>
  <c r="E45" i="48" s="1"/>
  <c r="G45" i="48" s="1"/>
  <c r="P15" i="48"/>
  <c r="P35" i="48" s="1"/>
  <c r="I12" i="48"/>
  <c r="K12" i="48" s="1"/>
  <c r="G27" i="48"/>
  <c r="I26" i="48"/>
  <c r="K4" i="48"/>
  <c r="K23" i="48"/>
  <c r="L27" i="48"/>
  <c r="I29" i="48"/>
  <c r="G30" i="48"/>
  <c r="G15" i="48"/>
  <c r="I9" i="48"/>
  <c r="K17" i="48"/>
  <c r="K18" i="48" s="1"/>
  <c r="I18" i="48"/>
  <c r="G33" i="48"/>
  <c r="L15" i="48"/>
  <c r="I5" i="48"/>
  <c r="K5" i="48" s="1"/>
  <c r="G24" i="48"/>
  <c r="L33" i="48"/>
  <c r="I11" i="48"/>
  <c r="K11" i="48" s="1"/>
  <c r="I32" i="48"/>
  <c r="K32" i="48" s="1"/>
  <c r="G21" i="48"/>
  <c r="I20" i="48"/>
  <c r="N41" i="48"/>
  <c r="S15" i="48" s="1"/>
  <c r="L35" i="48" l="1"/>
  <c r="G35" i="48"/>
  <c r="M2" i="48" s="1"/>
  <c r="M6" i="48" s="1"/>
  <c r="N6" i="48" s="1"/>
  <c r="F41" i="48"/>
  <c r="G41" i="48"/>
  <c r="C43" i="48" s="1"/>
  <c r="K33" i="48"/>
  <c r="I33" i="48"/>
  <c r="I15" i="48"/>
  <c r="O42" i="48" s="1"/>
  <c r="K9" i="48"/>
  <c r="K15" i="48" s="1"/>
  <c r="K20" i="48"/>
  <c r="K21" i="48" s="1"/>
  <c r="I21" i="48"/>
  <c r="I24" i="48"/>
  <c r="K29" i="48"/>
  <c r="K30" i="48" s="1"/>
  <c r="I30" i="48"/>
  <c r="O41" i="48"/>
  <c r="K24" i="48"/>
  <c r="K26" i="48"/>
  <c r="K27" i="48" s="1"/>
  <c r="I27" i="48"/>
  <c r="M20" i="48" l="1"/>
  <c r="M12" i="48"/>
  <c r="N12" i="48" s="1"/>
  <c r="M5" i="48"/>
  <c r="N5" i="48" s="1"/>
  <c r="M9" i="48"/>
  <c r="M29" i="48"/>
  <c r="N29" i="48" s="1"/>
  <c r="N30" i="48" s="1"/>
  <c r="M26" i="48"/>
  <c r="M27" i="48" s="1"/>
  <c r="M14" i="48"/>
  <c r="N14" i="48" s="1"/>
  <c r="M17" i="48"/>
  <c r="M18" i="48" s="1"/>
  <c r="M13" i="48"/>
  <c r="N13" i="48" s="1"/>
  <c r="M4" i="48"/>
  <c r="M10" i="48"/>
  <c r="N10" i="48" s="1"/>
  <c r="M23" i="48"/>
  <c r="M24" i="48" s="1"/>
  <c r="M11" i="48"/>
  <c r="N11" i="48" s="1"/>
  <c r="M32" i="48"/>
  <c r="N32" i="48" s="1"/>
  <c r="H41" i="48"/>
  <c r="I35" i="48"/>
  <c r="M21" i="48"/>
  <c r="N20" i="48"/>
  <c r="N21" i="48" s="1"/>
  <c r="K35" i="48"/>
  <c r="N4" i="48" l="1"/>
  <c r="N7" i="48" s="1"/>
  <c r="M7" i="48"/>
  <c r="M33" i="48"/>
  <c r="N23" i="48"/>
  <c r="N24" i="48" s="1"/>
  <c r="N26" i="48"/>
  <c r="N27" i="48" s="1"/>
  <c r="M15" i="48"/>
  <c r="N9" i="48"/>
  <c r="N15" i="48" s="1"/>
  <c r="N33" i="48"/>
  <c r="N17" i="48"/>
  <c r="N18" i="48" s="1"/>
  <c r="M30" i="48"/>
  <c r="N35" i="48" l="1"/>
  <c r="M35" i="48"/>
  <c r="L41" i="48" s="1"/>
  <c r="C42" i="48" s="1"/>
</calcChain>
</file>

<file path=xl/sharedStrings.xml><?xml version="1.0" encoding="utf-8"?>
<sst xmlns="http://schemas.openxmlformats.org/spreadsheetml/2006/main" count="74" uniqueCount="65">
  <si>
    <t>№</t>
  </si>
  <si>
    <t>ФИО</t>
  </si>
  <si>
    <t>Сумма заказа в тенге</t>
  </si>
  <si>
    <t>Рег. взнос</t>
  </si>
  <si>
    <t>Скидка
тенге</t>
  </si>
  <si>
    <t>Сумма с учетом скидки</t>
  </si>
  <si>
    <t xml:space="preserve">Сумма в рублях </t>
  </si>
  <si>
    <t xml:space="preserve">Доставка </t>
  </si>
  <si>
    <t>Сумма с доставкой</t>
  </si>
  <si>
    <t>Оплатили, руб</t>
  </si>
  <si>
    <t>Возврат, руб</t>
  </si>
  <si>
    <t>Сумма в рублях факт</t>
  </si>
  <si>
    <t>Доставка факт</t>
  </si>
  <si>
    <t>Сумма с доставкой факт</t>
  </si>
  <si>
    <t>Пришло в тенге</t>
  </si>
  <si>
    <t>Пришло в рублях</t>
  </si>
  <si>
    <t>Возврат по товару</t>
  </si>
  <si>
    <t>Перевели</t>
  </si>
  <si>
    <t>Дата заказа</t>
  </si>
  <si>
    <t>Курс тенге</t>
  </si>
  <si>
    <t>Курс тенге факт</t>
  </si>
  <si>
    <t>Расходы</t>
  </si>
  <si>
    <t>гр. Родионовой</t>
  </si>
  <si>
    <t>доставка DPD</t>
  </si>
  <si>
    <t>Людмила Селезнева</t>
  </si>
  <si>
    <t>Всего:</t>
  </si>
  <si>
    <t>гр. Едрышовых</t>
  </si>
  <si>
    <t>Елена Едрышова</t>
  </si>
  <si>
    <t>Варвара Попова</t>
  </si>
  <si>
    <t>гр. Китаевых</t>
  </si>
  <si>
    <t>гр. Потаповых</t>
  </si>
  <si>
    <t>гр. Рыжкиных</t>
  </si>
  <si>
    <t>гр. Кушакова</t>
  </si>
  <si>
    <t>гр. Зацепиной</t>
  </si>
  <si>
    <t>Остальные</t>
  </si>
  <si>
    <t>Игорь Балановский</t>
  </si>
  <si>
    <t>Итого за весь заказ:</t>
  </si>
  <si>
    <t>Доставка до КИТ:</t>
  </si>
  <si>
    <t>Номер заказа:</t>
  </si>
  <si>
    <t>Город отправки:</t>
  </si>
  <si>
    <t>Воронеж</t>
  </si>
  <si>
    <t>Отправитель:</t>
  </si>
  <si>
    <t>Балановский Игорь</t>
  </si>
  <si>
    <t>Всего тенге</t>
  </si>
  <si>
    <t>Мы оплатили</t>
  </si>
  <si>
    <t>Рубли курс</t>
  </si>
  <si>
    <t>Рубли курс факт</t>
  </si>
  <si>
    <t>Разница</t>
  </si>
  <si>
    <t>Доставка %</t>
  </si>
  <si>
    <t>Расходы на доставку</t>
  </si>
  <si>
    <t>1% Ед</t>
  </si>
  <si>
    <t>Доставка Едрышовых</t>
  </si>
  <si>
    <t>Оплатил:</t>
  </si>
  <si>
    <t>Остаток:</t>
  </si>
  <si>
    <t>Факт. Остаток:</t>
  </si>
  <si>
    <t>Оплатил через BCC:</t>
  </si>
  <si>
    <t>Комиссия Тинькофф</t>
  </si>
  <si>
    <t>Александра Родионова</t>
  </si>
  <si>
    <t>Тинькофф</t>
  </si>
  <si>
    <t>Надежда Меняйленко</t>
  </si>
  <si>
    <t>Наталья Россик</t>
  </si>
  <si>
    <t>Вера Баранникова</t>
  </si>
  <si>
    <t>Елизавета Целых</t>
  </si>
  <si>
    <t>Валентина Стоякина</t>
  </si>
  <si>
    <t>Людмила Мадисон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</si>
</sst>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\ ##0"/>
    <numFmt numFmtId="166" formatCode="0.0000"/>
  </numFmts>
  <fonts count="15" x14ac:knownFonts="1">
    <font>
      <sz val="12"/>
      <color theme="1"/>
      <name val="Calibri"/>
      <scheme val="minor"/>
    </font>
    <font>
      <b/>
      <sz val="12"/>
      <color theme="1"/>
      <name val="Calibri"/>
      <family val="2"/>
    </font>
    <font>
      <b/>
      <sz val="12"/>
      <color rgb="FF2E75B5"/>
      <name val="Calibri"/>
      <family val="2"/>
    </font>
    <font>
      <b/>
      <sz val="12"/>
      <color rgb="FFC00000"/>
      <name val="Calibri"/>
      <family val="2"/>
    </font>
    <font>
      <b/>
      <sz val="12"/>
      <color rgb="FF00B050"/>
      <name val="Calibri"/>
      <family val="2"/>
    </font>
    <font>
      <b/>
      <sz val="12"/>
      <color rgb="FF0070C0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2"/>
      <color rgb="FF00B050"/>
      <name val="Calibri"/>
      <family val="2"/>
    </font>
    <font>
      <sz val="12"/>
      <color rgb="FF0070C0"/>
      <name val="Calibri"/>
      <family val="2"/>
    </font>
    <font>
      <sz val="12"/>
      <color rgb="FFC00000"/>
      <name val="Calibri"/>
      <family val="2"/>
    </font>
    <font>
      <sz val="12"/>
      <color rgb="FF000000"/>
      <name val="Calibri"/>
      <family val="2"/>
    </font>
    <font>
      <sz val="12"/>
      <color rgb="FF2E75B5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0" fontId="5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 wrapText="1"/>
    </xf>
    <xf numFmtId="0" fontId="7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9" fontId="8" fillId="0" borderId="0" xfId="0" applyNumberFormat="1" applyFont="1"/>
    <xf numFmtId="10" fontId="9" fillId="0" borderId="1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0" fontId="8" fillId="0" borderId="0" xfId="0" applyNumberFormat="1" applyFont="1" applyAlignment="1">
      <alignment horizontal="right"/>
    </xf>
    <xf numFmtId="10" fontId="10" fillId="0" borderId="0" xfId="0" applyNumberFormat="1" applyFont="1" applyAlignment="1">
      <alignment horizontal="right"/>
    </xf>
    <xf numFmtId="0" fontId="10" fillId="0" borderId="0" xfId="0" applyFont="1"/>
    <xf numFmtId="164" fontId="7" fillId="0" borderId="0" xfId="0" applyNumberFormat="1" applyFont="1"/>
    <xf numFmtId="165" fontId="8" fillId="0" borderId="0" xfId="0" applyNumberFormat="1" applyFont="1"/>
    <xf numFmtId="9" fontId="7" fillId="0" borderId="0" xfId="0" applyNumberFormat="1" applyFont="1"/>
    <xf numFmtId="9" fontId="7" fillId="0" borderId="0" xfId="0" applyNumberFormat="1" applyFont="1" applyAlignment="1">
      <alignment horizontal="right"/>
    </xf>
    <xf numFmtId="0" fontId="8" fillId="0" borderId="0" xfId="0" applyFont="1"/>
    <xf numFmtId="0" fontId="11" fillId="0" borderId="0" xfId="0" applyFont="1"/>
    <xf numFmtId="165" fontId="12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/>
    <xf numFmtId="165" fontId="9" fillId="0" borderId="1" xfId="0" applyNumberFormat="1" applyFont="1" applyBorder="1"/>
    <xf numFmtId="165" fontId="10" fillId="0" borderId="2" xfId="0" applyNumberFormat="1" applyFont="1" applyBorder="1"/>
    <xf numFmtId="165" fontId="9" fillId="0" borderId="0" xfId="0" applyNumberFormat="1" applyFont="1"/>
    <xf numFmtId="1" fontId="10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3" fillId="0" borderId="0" xfId="0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5" fontId="3" fillId="0" borderId="2" xfId="0" applyNumberFormat="1" applyFont="1" applyBorder="1"/>
    <xf numFmtId="165" fontId="5" fillId="0" borderId="0" xfId="0" applyNumberFormat="1" applyFont="1"/>
    <xf numFmtId="1" fontId="3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165" fontId="7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9" fillId="0" borderId="1" xfId="0" applyFont="1" applyBorder="1"/>
    <xf numFmtId="0" fontId="7" fillId="0" borderId="2" xfId="0" applyFont="1" applyBorder="1"/>
    <xf numFmtId="165" fontId="2" fillId="0" borderId="0" xfId="0" applyNumberFormat="1" applyFont="1"/>
    <xf numFmtId="165" fontId="5" fillId="0" borderId="0" xfId="0" applyNumberFormat="1" applyFont="1" applyAlignment="1">
      <alignment horizontal="right"/>
    </xf>
    <xf numFmtId="165" fontId="7" fillId="0" borderId="0" xfId="0" applyNumberFormat="1" applyFont="1"/>
    <xf numFmtId="2" fontId="1" fillId="0" borderId="0" xfId="0" applyNumberFormat="1" applyFont="1"/>
    <xf numFmtId="2" fontId="7" fillId="0" borderId="0" xfId="0" applyNumberFormat="1" applyFont="1"/>
    <xf numFmtId="166" fontId="7" fillId="0" borderId="0" xfId="0" applyNumberFormat="1" applyFont="1"/>
    <xf numFmtId="10" fontId="7" fillId="0" borderId="0" xfId="0" applyNumberFormat="1" applyFont="1"/>
    <xf numFmtId="165" fontId="7" fillId="0" borderId="0" xfId="0" applyNumberFormat="1" applyFont="1" applyAlignment="1">
      <alignment horizontal="left"/>
    </xf>
    <xf numFmtId="0" fontId="13" fillId="0" borderId="0" xfId="0" applyFont="1"/>
    <xf numFmtId="0" fontId="14" fillId="0" borderId="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theme" Target="theme/theme1.xml"/><Relationship Id="rId25" Type="http://customschemas.google.com/relationships/workbookmetadata" Target="metadata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28" Type="http://schemas.openxmlformats.org/officeDocument/2006/relationships/sharedStrings" Target="sharedStrings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AA37-AA47-4171-883D-81949CF59CDF}">
  <dimension ref="A1:Z999"/>
  <sheetViews>
    <sheetView tabSelected="1" zoomScale="73" zoomScaleNormal="150" workbookViewId="0">
      <pane ySplit="1" topLeftCell="A2" activePane="bottomLeft" state="frozen"/>
      <selection pane="bottomLeft" activeCell="Q6" sqref="Q6"/>
    </sheetView>
  </sheetViews>
  <sheetFormatPr defaultColWidth="11.19921875" defaultRowHeight="15" customHeight="1" x14ac:dyDescent="0.3"/>
  <cols>
    <col min="1" max="1" width="3.19921875" bestFit="1" customWidth="1"/>
    <col min="2" max="2" width="22.69921875" customWidth="1"/>
    <col min="3" max="3" width="10.69921875" customWidth="1"/>
    <col min="4" max="4" width="6.19921875" customWidth="1"/>
    <col min="5" max="5" width="9.5" customWidth="1"/>
    <col min="6" max="6" width="9" customWidth="1"/>
    <col min="7" max="7" width="9.19921875" customWidth="1"/>
    <col min="8" max="8" width="8.69921875" customWidth="1"/>
    <col min="9" max="9" width="10" customWidth="1"/>
    <col min="10" max="11" width="1.19921875" hidden="1" customWidth="1"/>
    <col min="12" max="13" width="9.19921875" customWidth="1"/>
    <col min="14" max="14" width="10.19921875" customWidth="1"/>
    <col min="15" max="15" width="8.69921875" customWidth="1"/>
    <col min="16" max="17" width="8.19921875" customWidth="1"/>
    <col min="18" max="18" width="9.19921875" customWidth="1"/>
    <col min="19" max="19" width="14.69921875" bestFit="1" customWidth="1"/>
    <col min="20" max="20" width="5.19921875" customWidth="1"/>
    <col min="21" max="21" width="5.69921875" customWidth="1"/>
    <col min="22" max="22" width="8.5" customWidth="1"/>
    <col min="23" max="26" width="6.69921875" customWidth="1"/>
  </cols>
  <sheetData>
    <row r="1" spans="1:26" ht="48.7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4" t="s">
        <v>6</v>
      </c>
      <c r="H1" s="5" t="s">
        <v>7</v>
      </c>
      <c r="I1" s="4" t="s">
        <v>8</v>
      </c>
      <c r="J1" s="6" t="s">
        <v>9</v>
      </c>
      <c r="K1" s="7" t="s">
        <v>10</v>
      </c>
      <c r="L1" s="8" t="s">
        <v>11</v>
      </c>
      <c r="M1" s="5" t="s">
        <v>12</v>
      </c>
      <c r="N1" s="4" t="s">
        <v>13</v>
      </c>
      <c r="O1" s="8" t="s">
        <v>14</v>
      </c>
      <c r="P1" s="4" t="s">
        <v>15</v>
      </c>
      <c r="Q1" s="4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2"/>
      <c r="X1" s="12"/>
      <c r="Y1" s="13"/>
      <c r="Z1" s="13"/>
    </row>
    <row r="2" spans="1:26" ht="15.6" x14ac:dyDescent="0.3">
      <c r="A2" s="1"/>
      <c r="B2" s="9"/>
      <c r="C2" s="14"/>
      <c r="D2" s="15"/>
      <c r="E2" s="11"/>
      <c r="F2" s="14"/>
      <c r="G2" s="15"/>
      <c r="H2" s="16">
        <v>0.06</v>
      </c>
      <c r="I2" s="15"/>
      <c r="J2" s="17"/>
      <c r="K2" s="18"/>
      <c r="L2" s="15"/>
      <c r="M2" s="19">
        <f>(G35+V2)/G35-1</f>
        <v>1.393466037749036E-4</v>
      </c>
      <c r="N2" s="20"/>
      <c r="O2" s="20"/>
      <c r="P2" s="21"/>
      <c r="Q2" s="20"/>
      <c r="R2" s="20"/>
      <c r="S2" s="22">
        <v>46142</v>
      </c>
      <c r="T2" s="13">
        <v>6</v>
      </c>
      <c r="U2" s="13">
        <v>6.0720000000000001</v>
      </c>
      <c r="V2" s="23">
        <f>SUM(V3:V17)</f>
        <v>10</v>
      </c>
      <c r="W2" s="24"/>
      <c r="X2" s="25"/>
      <c r="Y2" s="13"/>
      <c r="Z2" s="13"/>
    </row>
    <row r="3" spans="1:26" ht="15.6" x14ac:dyDescent="0.3">
      <c r="A3" s="1"/>
      <c r="B3" s="9" t="s">
        <v>22</v>
      </c>
      <c r="C3" s="14"/>
      <c r="D3" s="15"/>
      <c r="E3" s="11"/>
      <c r="F3" s="14"/>
      <c r="G3" s="15"/>
      <c r="H3" s="16"/>
      <c r="I3" s="15"/>
      <c r="J3" s="17"/>
      <c r="K3" s="18"/>
      <c r="L3" s="15"/>
      <c r="M3" s="19"/>
      <c r="N3" s="20"/>
      <c r="O3" s="20"/>
      <c r="P3" s="21"/>
      <c r="Q3" s="20"/>
      <c r="R3" s="20"/>
      <c r="S3" s="22"/>
      <c r="T3" s="13"/>
      <c r="U3" s="13"/>
      <c r="V3" s="26">
        <v>10</v>
      </c>
      <c r="W3" s="13" t="s">
        <v>23</v>
      </c>
      <c r="X3" s="25"/>
      <c r="Y3" s="13"/>
      <c r="Z3" s="13"/>
    </row>
    <row r="4" spans="1:26" ht="15.6" x14ac:dyDescent="0.3">
      <c r="A4" s="13">
        <v>1</v>
      </c>
      <c r="B4" s="60" t="s">
        <v>60</v>
      </c>
      <c r="C4" s="28">
        <v>60269</v>
      </c>
      <c r="D4" s="29"/>
      <c r="E4" s="30">
        <v>10000</v>
      </c>
      <c r="F4" s="28">
        <f t="shared" ref="F4:F5" si="0">C4-E4</f>
        <v>50269</v>
      </c>
      <c r="G4" s="31">
        <f t="shared" ref="G4:G5" si="1">F4/$T$2</f>
        <v>8378.1666666666661</v>
      </c>
      <c r="H4" s="23">
        <f t="shared" ref="H4:H5" si="2">(C4-D4)/$T$2*$H$2</f>
        <v>602.69000000000005</v>
      </c>
      <c r="I4" s="31">
        <f t="shared" ref="I4:I5" si="3">G4+H4</f>
        <v>8980.8566666666666</v>
      </c>
      <c r="J4" s="32"/>
      <c r="K4" s="33">
        <f t="shared" ref="K4:K5" si="4">J4-I4</f>
        <v>-8980.8566666666666</v>
      </c>
      <c r="L4" s="34">
        <f t="shared" ref="L4:L5" si="5">F4/$U$2</f>
        <v>8278.8208168642959</v>
      </c>
      <c r="M4" s="23">
        <f t="shared" ref="M4:M5" si="6">G4*$M$2</f>
        <v>1.1674690708601048</v>
      </c>
      <c r="N4" s="31">
        <f t="shared" ref="N4:N5" si="7">L4+M4</f>
        <v>8279.9882859351565</v>
      </c>
      <c r="O4" s="28">
        <v>60269</v>
      </c>
      <c r="P4" s="35">
        <f t="shared" ref="P4:P5" si="8">(C4*$H$2+F4)/$T$2</f>
        <v>8980.8566666666666</v>
      </c>
      <c r="Q4" s="31">
        <f t="shared" ref="Q4:Q5" si="9">(C4-O4)/$T$2</f>
        <v>0</v>
      </c>
      <c r="R4" s="28"/>
      <c r="S4" s="59"/>
      <c r="T4" s="13"/>
      <c r="U4" s="13"/>
      <c r="V4" s="26">
        <v>0</v>
      </c>
      <c r="W4" s="13" t="s">
        <v>56</v>
      </c>
      <c r="X4" s="25"/>
      <c r="Y4" s="13"/>
      <c r="Z4" s="13"/>
    </row>
    <row r="5" spans="1:26" ht="15.6" x14ac:dyDescent="0.3">
      <c r="A5" s="13">
        <v>2</v>
      </c>
      <c r="B5" s="60" t="s">
        <v>24</v>
      </c>
      <c r="C5" s="28">
        <v>53600</v>
      </c>
      <c r="D5" s="29"/>
      <c r="E5" s="30">
        <v>10000</v>
      </c>
      <c r="F5" s="28">
        <f t="shared" si="0"/>
        <v>43600</v>
      </c>
      <c r="G5" s="31">
        <f t="shared" si="1"/>
        <v>7266.666666666667</v>
      </c>
      <c r="H5" s="23">
        <f t="shared" si="2"/>
        <v>536</v>
      </c>
      <c r="I5" s="31">
        <f t="shared" si="3"/>
        <v>7802.666666666667</v>
      </c>
      <c r="J5" s="32"/>
      <c r="K5" s="33">
        <f t="shared" si="4"/>
        <v>-7802.666666666667</v>
      </c>
      <c r="L5" s="34">
        <f t="shared" si="5"/>
        <v>7180.500658761528</v>
      </c>
      <c r="M5" s="23">
        <f t="shared" si="6"/>
        <v>1.0125853207642996</v>
      </c>
      <c r="N5" s="31">
        <f t="shared" si="7"/>
        <v>7181.5132440822927</v>
      </c>
      <c r="O5" s="28">
        <v>53600</v>
      </c>
      <c r="P5" s="35">
        <f t="shared" si="8"/>
        <v>7802.666666666667</v>
      </c>
      <c r="Q5" s="31">
        <f t="shared" si="9"/>
        <v>0</v>
      </c>
      <c r="R5" s="28">
        <v>16783</v>
      </c>
      <c r="S5" s="59" t="s">
        <v>58</v>
      </c>
      <c r="T5" s="13"/>
      <c r="U5" s="13"/>
      <c r="V5" s="26"/>
      <c r="W5" s="13"/>
      <c r="X5" s="25"/>
      <c r="Y5" s="13"/>
      <c r="Z5" s="13"/>
    </row>
    <row r="6" spans="1:26" ht="15.6" x14ac:dyDescent="0.3">
      <c r="A6" s="13">
        <v>3</v>
      </c>
      <c r="B6" s="60" t="s">
        <v>57</v>
      </c>
      <c r="C6" s="28">
        <v>19537</v>
      </c>
      <c r="D6" s="29"/>
      <c r="E6" s="30">
        <v>9528</v>
      </c>
      <c r="F6" s="28">
        <f t="shared" ref="F6" si="10">C6-E6</f>
        <v>10009</v>
      </c>
      <c r="G6" s="31">
        <f t="shared" ref="G6" si="11">F6/$T$2</f>
        <v>1668.1666666666667</v>
      </c>
      <c r="H6" s="23">
        <f t="shared" ref="H6" si="12">(C6-D6)/$T$2*$H$2</f>
        <v>195.36999999999998</v>
      </c>
      <c r="I6" s="31">
        <f t="shared" ref="I6" si="13">G6+H6</f>
        <v>1863.5366666666666</v>
      </c>
      <c r="J6" s="32"/>
      <c r="K6" s="33">
        <f t="shared" ref="K6" si="14">J6-I6</f>
        <v>-1863.5366666666666</v>
      </c>
      <c r="L6" s="34">
        <f t="shared" ref="L6" si="15">F6/$U$2</f>
        <v>1648.3860342555995</v>
      </c>
      <c r="M6" s="23">
        <f t="shared" ref="M6" si="16">G6*$M$2</f>
        <v>0.2324533595305017</v>
      </c>
      <c r="N6" s="31">
        <f t="shared" ref="N6" si="17">L6+M6</f>
        <v>1648.6184876151301</v>
      </c>
      <c r="O6" s="28">
        <v>19537</v>
      </c>
      <c r="P6" s="35">
        <f t="shared" ref="P6" si="18">(C6*$H$2+F6)/$T$2</f>
        <v>1863.5366666666666</v>
      </c>
      <c r="Q6" s="31">
        <f t="shared" ref="Q6" si="19">(C6-O6)/$T$2</f>
        <v>0</v>
      </c>
      <c r="R6" s="28">
        <v>1864</v>
      </c>
      <c r="S6" s="59" t="s">
        <v>58</v>
      </c>
      <c r="T6" s="13"/>
      <c r="U6" s="13"/>
      <c r="V6" s="26"/>
      <c r="W6" s="13"/>
      <c r="X6" s="25"/>
      <c r="Y6" s="13"/>
      <c r="Z6" s="13"/>
    </row>
    <row r="7" spans="1:26" ht="15.6" x14ac:dyDescent="0.3">
      <c r="A7" s="1"/>
      <c r="B7" s="9" t="s">
        <v>25</v>
      </c>
      <c r="C7" s="36">
        <f>SUM(C4:C6)</f>
        <v>133406</v>
      </c>
      <c r="D7" s="15"/>
      <c r="E7" s="37">
        <f t="shared" ref="E7:R7" si="20">SUM(E4:E6)</f>
        <v>29528</v>
      </c>
      <c r="F7" s="36">
        <f t="shared" si="20"/>
        <v>103878</v>
      </c>
      <c r="G7" s="38">
        <f t="shared" si="20"/>
        <v>17313</v>
      </c>
      <c r="H7" s="39">
        <f t="shared" si="20"/>
        <v>1334.06</v>
      </c>
      <c r="I7" s="38">
        <f t="shared" si="20"/>
        <v>18647.060000000001</v>
      </c>
      <c r="J7" s="40">
        <f t="shared" si="20"/>
        <v>0</v>
      </c>
      <c r="K7" s="41">
        <f t="shared" si="20"/>
        <v>-18647.060000000001</v>
      </c>
      <c r="L7" s="42">
        <f t="shared" si="20"/>
        <v>17107.707509881424</v>
      </c>
      <c r="M7" s="39">
        <f t="shared" si="20"/>
        <v>2.412507751154906</v>
      </c>
      <c r="N7" s="38">
        <f t="shared" si="20"/>
        <v>17110.12001763258</v>
      </c>
      <c r="O7" s="36">
        <f t="shared" si="20"/>
        <v>133406</v>
      </c>
      <c r="P7" s="43">
        <f t="shared" si="20"/>
        <v>18647.060000000001</v>
      </c>
      <c r="Q7" s="38">
        <f t="shared" si="20"/>
        <v>0</v>
      </c>
      <c r="R7" s="36">
        <f t="shared" si="20"/>
        <v>18647</v>
      </c>
      <c r="S7" s="22"/>
      <c r="T7" s="13"/>
      <c r="U7" s="13"/>
      <c r="V7" s="23"/>
      <c r="W7" s="24"/>
      <c r="X7" s="25"/>
      <c r="Y7" s="13"/>
      <c r="Z7" s="13"/>
    </row>
    <row r="8" spans="1:26" ht="15.6" x14ac:dyDescent="0.3">
      <c r="A8" s="1"/>
      <c r="B8" s="9" t="s">
        <v>26</v>
      </c>
      <c r="C8" s="14"/>
      <c r="D8" s="38"/>
      <c r="E8" s="11"/>
      <c r="F8" s="14"/>
      <c r="G8" s="38"/>
      <c r="H8" s="39"/>
      <c r="I8" s="38"/>
      <c r="J8" s="40"/>
      <c r="K8" s="41"/>
      <c r="L8" s="38"/>
      <c r="M8" s="39"/>
      <c r="N8" s="38"/>
      <c r="O8" s="38"/>
      <c r="P8" s="38"/>
      <c r="Q8" s="38"/>
      <c r="R8" s="38"/>
      <c r="S8" s="9"/>
      <c r="T8" s="9"/>
      <c r="U8" s="13"/>
      <c r="X8" s="13"/>
      <c r="Y8" s="13"/>
      <c r="Z8" s="13"/>
    </row>
    <row r="9" spans="1:26" ht="15.6" x14ac:dyDescent="0.3">
      <c r="A9" s="13">
        <v>1</v>
      </c>
      <c r="B9" s="60" t="s">
        <v>59</v>
      </c>
      <c r="C9" s="28">
        <v>79598</v>
      </c>
      <c r="D9" s="29"/>
      <c r="E9" s="30">
        <v>10000</v>
      </c>
      <c r="F9" s="28">
        <f t="shared" ref="F9:F14" si="21">C9-E9</f>
        <v>69598</v>
      </c>
      <c r="G9" s="31">
        <f t="shared" ref="G9:G14" si="22">F9/$T$2</f>
        <v>11599.666666666666</v>
      </c>
      <c r="H9" s="23">
        <f t="shared" ref="H9:H14" si="23">(C9-D9)/$T$2*$H$2</f>
        <v>795.98</v>
      </c>
      <c r="I9" s="31">
        <f t="shared" ref="I9:I14" si="24">G9+H9</f>
        <v>12395.646666666666</v>
      </c>
      <c r="J9" s="32"/>
      <c r="K9" s="33">
        <f t="shared" ref="K9:K14" si="25">J9-I9</f>
        <v>-12395.646666666666</v>
      </c>
      <c r="L9" s="34">
        <f t="shared" ref="L9:L14" si="26">F9/$U$2</f>
        <v>11462.121212121212</v>
      </c>
      <c r="M9" s="23">
        <f t="shared" ref="M9:M14" si="27">G9*$M$2</f>
        <v>1.6163741549209567</v>
      </c>
      <c r="N9" s="31">
        <f t="shared" ref="N9:N14" si="28">L9+M9</f>
        <v>11463.737586276133</v>
      </c>
      <c r="O9" s="28">
        <v>79598</v>
      </c>
      <c r="P9" s="35">
        <f t="shared" ref="P9:P14" si="29">(C9*$H$2+F9)/$T$2</f>
        <v>12395.646666666667</v>
      </c>
      <c r="Q9" s="31">
        <f t="shared" ref="Q9:Q14" si="30">(C9-O9)/$T$2</f>
        <v>0</v>
      </c>
      <c r="R9" s="31"/>
      <c r="S9" s="44"/>
      <c r="T9" s="9"/>
      <c r="U9" s="13"/>
      <c r="X9" s="13"/>
      <c r="Y9" s="13"/>
      <c r="Z9" s="13"/>
    </row>
    <row r="10" spans="1:26" ht="15.6" x14ac:dyDescent="0.3">
      <c r="A10" s="13">
        <v>2</v>
      </c>
      <c r="B10" s="60" t="s">
        <v>61</v>
      </c>
      <c r="C10" s="28">
        <v>41935</v>
      </c>
      <c r="D10" s="29"/>
      <c r="E10" s="30">
        <v>10000</v>
      </c>
      <c r="F10" s="28">
        <f t="shared" si="21"/>
        <v>31935</v>
      </c>
      <c r="G10" s="31">
        <f t="shared" si="22"/>
        <v>5322.5</v>
      </c>
      <c r="H10" s="23">
        <f t="shared" si="23"/>
        <v>419.35</v>
      </c>
      <c r="I10" s="31">
        <f t="shared" si="24"/>
        <v>5741.85</v>
      </c>
      <c r="J10" s="32"/>
      <c r="K10" s="33">
        <f t="shared" si="25"/>
        <v>-5741.85</v>
      </c>
      <c r="L10" s="34">
        <f t="shared" si="26"/>
        <v>5259.387351778656</v>
      </c>
      <c r="M10" s="23">
        <f t="shared" si="27"/>
        <v>0.74167229859192441</v>
      </c>
      <c r="N10" s="31">
        <f t="shared" si="28"/>
        <v>5260.1290240772478</v>
      </c>
      <c r="O10" s="28">
        <v>41935</v>
      </c>
      <c r="P10" s="35">
        <f t="shared" si="29"/>
        <v>5741.8499999999995</v>
      </c>
      <c r="Q10" s="31">
        <f t="shared" si="30"/>
        <v>0</v>
      </c>
      <c r="R10" s="31">
        <v>5742</v>
      </c>
      <c r="S10" s="44"/>
      <c r="T10" s="9"/>
      <c r="U10" s="13"/>
      <c r="X10" s="13"/>
      <c r="Y10" s="13"/>
      <c r="Z10" s="13"/>
    </row>
    <row r="11" spans="1:26" ht="15.6" x14ac:dyDescent="0.3">
      <c r="A11" s="13">
        <v>3</v>
      </c>
      <c r="B11" s="60" t="s">
        <v>62</v>
      </c>
      <c r="C11" s="28">
        <v>12350</v>
      </c>
      <c r="D11" s="29"/>
      <c r="E11" s="30">
        <v>0</v>
      </c>
      <c r="F11" s="28">
        <f t="shared" si="21"/>
        <v>12350</v>
      </c>
      <c r="G11" s="31">
        <f t="shared" si="22"/>
        <v>2058.3333333333335</v>
      </c>
      <c r="H11" s="23">
        <f t="shared" si="23"/>
        <v>123.5</v>
      </c>
      <c r="I11" s="31">
        <f t="shared" si="24"/>
        <v>2181.8333333333335</v>
      </c>
      <c r="J11" s="32"/>
      <c r="K11" s="33">
        <f t="shared" si="25"/>
        <v>-2181.8333333333335</v>
      </c>
      <c r="L11" s="34">
        <f t="shared" si="26"/>
        <v>2033.9262187088275</v>
      </c>
      <c r="M11" s="23">
        <f t="shared" si="27"/>
        <v>0.28682175943667659</v>
      </c>
      <c r="N11" s="31">
        <f t="shared" si="28"/>
        <v>2034.2130404682641</v>
      </c>
      <c r="O11" s="28">
        <v>12350</v>
      </c>
      <c r="P11" s="35">
        <f t="shared" si="29"/>
        <v>2181.8333333333335</v>
      </c>
      <c r="Q11" s="31">
        <f t="shared" si="30"/>
        <v>0</v>
      </c>
      <c r="R11" s="31"/>
      <c r="S11" s="44"/>
      <c r="T11" s="9"/>
      <c r="U11" s="13"/>
      <c r="X11" s="13"/>
      <c r="Y11" s="13"/>
      <c r="Z11" s="13"/>
    </row>
    <row r="12" spans="1:26" ht="15.6" x14ac:dyDescent="0.3">
      <c r="A12" s="13">
        <v>5</v>
      </c>
      <c r="B12" s="60" t="s">
        <v>63</v>
      </c>
      <c r="C12" s="28">
        <v>51120</v>
      </c>
      <c r="D12" s="29"/>
      <c r="E12" s="30">
        <v>0</v>
      </c>
      <c r="F12" s="28">
        <f t="shared" si="21"/>
        <v>51120</v>
      </c>
      <c r="G12" s="31">
        <f t="shared" si="22"/>
        <v>8520</v>
      </c>
      <c r="H12" s="23">
        <f t="shared" si="23"/>
        <v>511.2</v>
      </c>
      <c r="I12" s="31">
        <f t="shared" si="24"/>
        <v>9031.2000000000007</v>
      </c>
      <c r="J12" s="32"/>
      <c r="K12" s="33">
        <f t="shared" si="25"/>
        <v>-9031.2000000000007</v>
      </c>
      <c r="L12" s="34">
        <f t="shared" si="26"/>
        <v>8418.97233201581</v>
      </c>
      <c r="M12" s="23">
        <f t="shared" si="27"/>
        <v>1.1872330641621787</v>
      </c>
      <c r="N12" s="31">
        <f t="shared" si="28"/>
        <v>8420.1595650799718</v>
      </c>
      <c r="O12" s="28">
        <v>51120</v>
      </c>
      <c r="P12" s="35">
        <f t="shared" si="29"/>
        <v>9031.1999999999989</v>
      </c>
      <c r="Q12" s="31">
        <f t="shared" si="30"/>
        <v>0</v>
      </c>
      <c r="R12" s="31"/>
      <c r="S12" s="44"/>
      <c r="T12" s="9"/>
      <c r="U12" s="13"/>
      <c r="X12" s="13"/>
      <c r="Y12" s="13"/>
      <c r="Z12" s="13"/>
    </row>
    <row r="13" spans="1:26" ht="15.6" x14ac:dyDescent="0.3">
      <c r="A13" s="13">
        <v>6</v>
      </c>
      <c r="B13" s="60" t="s">
        <v>28</v>
      </c>
      <c r="C13" s="28">
        <v>31194</v>
      </c>
      <c r="D13" s="29"/>
      <c r="E13" s="30">
        <v>10000</v>
      </c>
      <c r="F13" s="28">
        <f t="shared" si="21"/>
        <v>21194</v>
      </c>
      <c r="G13" s="31">
        <f t="shared" si="22"/>
        <v>3532.3333333333335</v>
      </c>
      <c r="H13" s="23">
        <f t="shared" si="23"/>
        <v>311.94</v>
      </c>
      <c r="I13" s="31">
        <f t="shared" si="24"/>
        <v>3844.2733333333335</v>
      </c>
      <c r="J13" s="32"/>
      <c r="K13" s="33">
        <f t="shared" si="25"/>
        <v>-3844.2733333333335</v>
      </c>
      <c r="L13" s="34">
        <f t="shared" si="26"/>
        <v>3490.447957839262</v>
      </c>
      <c r="M13" s="23">
        <f t="shared" si="27"/>
        <v>0.4922186534008845</v>
      </c>
      <c r="N13" s="31">
        <f t="shared" si="28"/>
        <v>3490.9401764926629</v>
      </c>
      <c r="O13" s="28">
        <v>31194</v>
      </c>
      <c r="P13" s="35">
        <f t="shared" si="29"/>
        <v>3844.2733333333331</v>
      </c>
      <c r="Q13" s="31">
        <f t="shared" si="30"/>
        <v>0</v>
      </c>
      <c r="R13" s="31"/>
      <c r="S13" s="44"/>
      <c r="T13" s="9"/>
      <c r="U13" s="13"/>
      <c r="X13" s="13"/>
      <c r="Y13" s="13"/>
      <c r="Z13" s="13"/>
    </row>
    <row r="14" spans="1:26" ht="15.6" x14ac:dyDescent="0.3">
      <c r="A14" s="13">
        <v>7</v>
      </c>
      <c r="B14" s="60" t="s">
        <v>27</v>
      </c>
      <c r="C14" s="28">
        <v>56371</v>
      </c>
      <c r="D14" s="29"/>
      <c r="E14" s="30">
        <v>0</v>
      </c>
      <c r="F14" s="28">
        <f t="shared" si="21"/>
        <v>56371</v>
      </c>
      <c r="G14" s="31">
        <f t="shared" si="22"/>
        <v>9395.1666666666661</v>
      </c>
      <c r="H14" s="23">
        <f t="shared" si="23"/>
        <v>563.70999999999992</v>
      </c>
      <c r="I14" s="31">
        <f t="shared" si="24"/>
        <v>9958.8766666666652</v>
      </c>
      <c r="J14" s="32"/>
      <c r="K14" s="33">
        <f t="shared" si="25"/>
        <v>-9958.8766666666652</v>
      </c>
      <c r="L14" s="34">
        <f t="shared" si="26"/>
        <v>9283.761528326746</v>
      </c>
      <c r="M14" s="23">
        <f t="shared" si="27"/>
        <v>1.3091845668991817</v>
      </c>
      <c r="N14" s="31">
        <f t="shared" si="28"/>
        <v>9285.0707128936447</v>
      </c>
      <c r="O14" s="28">
        <v>56371</v>
      </c>
      <c r="P14" s="35">
        <f t="shared" si="29"/>
        <v>9958.876666666667</v>
      </c>
      <c r="Q14" s="31">
        <f t="shared" si="30"/>
        <v>0</v>
      </c>
      <c r="R14" s="31">
        <v>36735</v>
      </c>
      <c r="S14" s="44"/>
      <c r="T14" s="9"/>
      <c r="U14" s="13"/>
      <c r="X14" s="13"/>
      <c r="Y14" s="13"/>
      <c r="Z14" s="13"/>
    </row>
    <row r="15" spans="1:26" ht="15.75" customHeight="1" x14ac:dyDescent="0.3">
      <c r="A15" s="1"/>
      <c r="B15" s="46" t="s">
        <v>25</v>
      </c>
      <c r="C15" s="36">
        <f>SUM(C9:C14)</f>
        <v>272568</v>
      </c>
      <c r="D15" s="15"/>
      <c r="E15" s="37">
        <f t="shared" ref="E15:R15" si="31">SUM(E9:E14)</f>
        <v>30000</v>
      </c>
      <c r="F15" s="36">
        <f t="shared" si="31"/>
        <v>242568</v>
      </c>
      <c r="G15" s="38">
        <f t="shared" si="31"/>
        <v>40427.999999999993</v>
      </c>
      <c r="H15" s="39">
        <f t="shared" si="31"/>
        <v>2725.68</v>
      </c>
      <c r="I15" s="38">
        <f t="shared" si="31"/>
        <v>43153.679999999993</v>
      </c>
      <c r="J15" s="40">
        <f t="shared" si="31"/>
        <v>0</v>
      </c>
      <c r="K15" s="41">
        <f t="shared" si="31"/>
        <v>-43153.679999999993</v>
      </c>
      <c r="L15" s="42">
        <f t="shared" si="31"/>
        <v>39948.616600790512</v>
      </c>
      <c r="M15" s="39">
        <f t="shared" si="31"/>
        <v>5.6335044974118027</v>
      </c>
      <c r="N15" s="38">
        <f t="shared" si="31"/>
        <v>39954.250105287923</v>
      </c>
      <c r="O15" s="36">
        <f t="shared" si="31"/>
        <v>272568</v>
      </c>
      <c r="P15" s="43">
        <f t="shared" si="31"/>
        <v>43153.679999999993</v>
      </c>
      <c r="Q15" s="38">
        <f t="shared" si="31"/>
        <v>0</v>
      </c>
      <c r="R15" s="36">
        <f t="shared" si="31"/>
        <v>42477</v>
      </c>
      <c r="S15" s="58">
        <f>R15+N41</f>
        <v>43153.623333333337</v>
      </c>
      <c r="T15" s="45"/>
      <c r="U15" s="13"/>
      <c r="V15" s="13"/>
      <c r="W15" s="13"/>
      <c r="X15" s="13"/>
      <c r="Y15" s="13"/>
      <c r="Z15" s="13"/>
    </row>
    <row r="16" spans="1:26" ht="15.75" customHeight="1" x14ac:dyDescent="0.3">
      <c r="A16" s="1"/>
      <c r="B16" s="46" t="s">
        <v>29</v>
      </c>
      <c r="C16" s="36"/>
      <c r="D16" s="48"/>
      <c r="E16" s="37"/>
      <c r="F16" s="36"/>
      <c r="G16" s="38"/>
      <c r="H16" s="39"/>
      <c r="I16" s="38"/>
      <c r="J16" s="40"/>
      <c r="K16" s="41"/>
      <c r="L16" s="42"/>
      <c r="M16" s="39"/>
      <c r="N16" s="38"/>
      <c r="O16" s="36"/>
      <c r="P16" s="43"/>
      <c r="Q16" s="38"/>
      <c r="R16" s="31"/>
      <c r="S16" s="44"/>
      <c r="T16" s="45"/>
      <c r="U16" s="13"/>
      <c r="V16" s="13"/>
      <c r="W16" s="13"/>
      <c r="X16" s="13"/>
      <c r="Y16" s="13"/>
      <c r="Z16" s="13"/>
    </row>
    <row r="17" spans="1:26" ht="15.75" customHeight="1" x14ac:dyDescent="0.3">
      <c r="A17" s="13">
        <v>1</v>
      </c>
      <c r="B17" s="60"/>
      <c r="C17" s="28"/>
      <c r="D17" s="29"/>
      <c r="E17" s="30"/>
      <c r="F17" s="28">
        <f>C17-E17</f>
        <v>0</v>
      </c>
      <c r="G17" s="31">
        <f>F17/$T$2</f>
        <v>0</v>
      </c>
      <c r="H17" s="23">
        <f>(C17-D17)/$T$2*$H$2</f>
        <v>0</v>
      </c>
      <c r="I17" s="31">
        <f>G17+H17</f>
        <v>0</v>
      </c>
      <c r="J17" s="32"/>
      <c r="K17" s="33">
        <f>J17-I17</f>
        <v>0</v>
      </c>
      <c r="L17" s="34">
        <f>F17/$U$2</f>
        <v>0</v>
      </c>
      <c r="M17" s="23">
        <f>G17*$M$2</f>
        <v>0</v>
      </c>
      <c r="N17" s="31">
        <f>L17+M17</f>
        <v>0</v>
      </c>
      <c r="O17" s="28"/>
      <c r="P17" s="35">
        <f>(C17*$H$2+F17)/$T$2</f>
        <v>0</v>
      </c>
      <c r="Q17" s="31">
        <f>(C17-O17)/$T$2</f>
        <v>0</v>
      </c>
      <c r="R17" s="28"/>
      <c r="S17" s="44"/>
      <c r="T17" s="9"/>
      <c r="U17" s="13"/>
      <c r="V17" s="26"/>
      <c r="W17" s="13"/>
      <c r="X17" s="13"/>
      <c r="Y17" s="13"/>
      <c r="Z17" s="13"/>
    </row>
    <row r="18" spans="1:26" ht="15.75" customHeight="1" x14ac:dyDescent="0.3">
      <c r="A18" s="13"/>
      <c r="B18" s="9" t="s">
        <v>25</v>
      </c>
      <c r="C18" s="36">
        <f>SUM(C17:C17)</f>
        <v>0</v>
      </c>
      <c r="D18" s="15"/>
      <c r="E18" s="37">
        <f t="shared" ref="E18:R18" si="32">SUM(E17:E17)</f>
        <v>0</v>
      </c>
      <c r="F18" s="36">
        <f t="shared" si="32"/>
        <v>0</v>
      </c>
      <c r="G18" s="38">
        <f t="shared" si="32"/>
        <v>0</v>
      </c>
      <c r="H18" s="39">
        <f t="shared" si="32"/>
        <v>0</v>
      </c>
      <c r="I18" s="38">
        <f t="shared" si="32"/>
        <v>0</v>
      </c>
      <c r="J18" s="40">
        <f t="shared" si="32"/>
        <v>0</v>
      </c>
      <c r="K18" s="41">
        <f t="shared" si="32"/>
        <v>0</v>
      </c>
      <c r="L18" s="42">
        <f t="shared" si="32"/>
        <v>0</v>
      </c>
      <c r="M18" s="39">
        <f t="shared" si="32"/>
        <v>0</v>
      </c>
      <c r="N18" s="38">
        <f t="shared" si="32"/>
        <v>0</v>
      </c>
      <c r="O18" s="36">
        <f t="shared" si="32"/>
        <v>0</v>
      </c>
      <c r="P18" s="43">
        <f t="shared" si="32"/>
        <v>0</v>
      </c>
      <c r="Q18" s="38">
        <f t="shared" si="32"/>
        <v>0</v>
      </c>
      <c r="R18" s="36">
        <f t="shared" si="32"/>
        <v>0</v>
      </c>
      <c r="S18" s="44"/>
      <c r="T18" s="9"/>
      <c r="U18" s="13"/>
      <c r="V18" s="26"/>
      <c r="W18" s="13"/>
      <c r="X18" s="13"/>
      <c r="Y18" s="13"/>
      <c r="Z18" s="13"/>
    </row>
    <row r="19" spans="1:26" ht="15.75" customHeight="1" x14ac:dyDescent="0.3">
      <c r="A19" s="1"/>
      <c r="B19" s="9" t="s">
        <v>30</v>
      </c>
      <c r="C19" s="36"/>
      <c r="D19" s="48"/>
      <c r="E19" s="37"/>
      <c r="F19" s="36"/>
      <c r="G19" s="38"/>
      <c r="H19" s="39"/>
      <c r="I19" s="38"/>
      <c r="J19" s="40"/>
      <c r="K19" s="41"/>
      <c r="L19" s="42"/>
      <c r="M19" s="39"/>
      <c r="N19" s="38"/>
      <c r="O19" s="36"/>
      <c r="P19" s="43"/>
      <c r="Q19" s="38"/>
      <c r="R19" s="36"/>
      <c r="S19" s="44"/>
      <c r="T19" s="9"/>
      <c r="U19" s="13"/>
      <c r="V19" s="26"/>
      <c r="W19" s="13"/>
      <c r="X19" s="13"/>
      <c r="Y19" s="13"/>
      <c r="Z19" s="13"/>
    </row>
    <row r="20" spans="1:26" ht="15.75" customHeight="1" x14ac:dyDescent="0.3">
      <c r="A20" s="13">
        <v>1</v>
      </c>
      <c r="B20" s="60" t="s">
        <v>64</v>
      </c>
      <c r="C20" s="28">
        <v>75648</v>
      </c>
      <c r="D20" s="29">
        <v>2800</v>
      </c>
      <c r="E20" s="30">
        <v>10000</v>
      </c>
      <c r="F20" s="28">
        <f>C20-E20</f>
        <v>65648</v>
      </c>
      <c r="G20" s="31">
        <f>F20/$T$2</f>
        <v>10941.333333333334</v>
      </c>
      <c r="H20" s="23">
        <f>(C20-D20)/$T$2*$H$2</f>
        <v>728.48</v>
      </c>
      <c r="I20" s="31">
        <f>G20+H20</f>
        <v>11669.813333333334</v>
      </c>
      <c r="J20" s="32"/>
      <c r="K20" s="33">
        <f>J20-I20</f>
        <v>-11669.813333333334</v>
      </c>
      <c r="L20" s="34">
        <f>F20/$U$2</f>
        <v>10811.59420289855</v>
      </c>
      <c r="M20" s="23">
        <f>G20*$M$2</f>
        <v>1.5246376407691453</v>
      </c>
      <c r="N20" s="31">
        <f>L20+M20</f>
        <v>10813.118840539319</v>
      </c>
      <c r="O20" s="28">
        <v>75648</v>
      </c>
      <c r="P20" s="35">
        <f>(C20*$H$2+F20)/$T$2</f>
        <v>11697.813333333334</v>
      </c>
      <c r="Q20" s="31">
        <f>(C20-O20)/$T$2</f>
        <v>0</v>
      </c>
      <c r="R20" s="28">
        <v>11670</v>
      </c>
      <c r="S20" s="44"/>
      <c r="T20" s="9"/>
      <c r="U20" s="13"/>
      <c r="V20" s="26"/>
      <c r="W20" s="13"/>
      <c r="X20" s="13"/>
      <c r="Y20" s="13"/>
      <c r="Z20" s="13"/>
    </row>
    <row r="21" spans="1:26" ht="15.75" customHeight="1" x14ac:dyDescent="0.3">
      <c r="A21" s="13"/>
      <c r="B21" s="9" t="s">
        <v>25</v>
      </c>
      <c r="C21" s="36">
        <f>SUM(C20)</f>
        <v>75648</v>
      </c>
      <c r="D21" s="48"/>
      <c r="E21" s="37">
        <f t="shared" ref="E21:R21" si="33">SUM(E20)</f>
        <v>10000</v>
      </c>
      <c r="F21" s="36">
        <f t="shared" si="33"/>
        <v>65648</v>
      </c>
      <c r="G21" s="38">
        <f t="shared" si="33"/>
        <v>10941.333333333334</v>
      </c>
      <c r="H21" s="39">
        <f t="shared" si="33"/>
        <v>728.48</v>
      </c>
      <c r="I21" s="38">
        <f t="shared" si="33"/>
        <v>11669.813333333334</v>
      </c>
      <c r="J21" s="40">
        <f t="shared" si="33"/>
        <v>0</v>
      </c>
      <c r="K21" s="41">
        <f t="shared" si="33"/>
        <v>-11669.813333333334</v>
      </c>
      <c r="L21" s="42">
        <f t="shared" si="33"/>
        <v>10811.59420289855</v>
      </c>
      <c r="M21" s="39">
        <f t="shared" si="33"/>
        <v>1.5246376407691453</v>
      </c>
      <c r="N21" s="38">
        <f t="shared" si="33"/>
        <v>10813.118840539319</v>
      </c>
      <c r="O21" s="36">
        <f t="shared" si="33"/>
        <v>75648</v>
      </c>
      <c r="P21" s="43">
        <f t="shared" si="33"/>
        <v>11697.813333333334</v>
      </c>
      <c r="Q21" s="38">
        <f t="shared" si="33"/>
        <v>0</v>
      </c>
      <c r="R21" s="36">
        <f t="shared" si="33"/>
        <v>11670</v>
      </c>
      <c r="S21" s="44"/>
      <c r="T21" s="9"/>
      <c r="U21" s="13"/>
      <c r="V21" s="26"/>
      <c r="W21" s="13"/>
      <c r="X21" s="13"/>
      <c r="Y21" s="13"/>
      <c r="Z21" s="13"/>
    </row>
    <row r="22" spans="1:26" ht="15.75" customHeight="1" x14ac:dyDescent="0.3">
      <c r="A22" s="1"/>
      <c r="B22" s="9" t="s">
        <v>31</v>
      </c>
      <c r="C22" s="36"/>
      <c r="D22" s="48"/>
      <c r="E22" s="37"/>
      <c r="F22" s="36"/>
      <c r="G22" s="38"/>
      <c r="H22" s="39"/>
      <c r="I22" s="38"/>
      <c r="J22" s="40"/>
      <c r="K22" s="41"/>
      <c r="L22" s="42"/>
      <c r="M22" s="39"/>
      <c r="N22" s="38"/>
      <c r="O22" s="36"/>
      <c r="P22" s="43"/>
      <c r="Q22" s="38"/>
      <c r="R22" s="36"/>
      <c r="S22" s="44"/>
      <c r="T22" s="9"/>
      <c r="U22" s="13"/>
      <c r="V22" s="26"/>
      <c r="W22" s="13"/>
      <c r="X22" s="13"/>
      <c r="Y22" s="13"/>
      <c r="Z22" s="13"/>
    </row>
    <row r="23" spans="1:26" ht="15.75" customHeight="1" x14ac:dyDescent="0.3">
      <c r="A23" s="13">
        <v>1</v>
      </c>
      <c r="B23" s="60"/>
      <c r="C23" s="28"/>
      <c r="D23" s="29"/>
      <c r="E23" s="30">
        <v>0</v>
      </c>
      <c r="F23" s="28">
        <f>C23-E23</f>
        <v>0</v>
      </c>
      <c r="G23" s="31">
        <f>F23/$T$2</f>
        <v>0</v>
      </c>
      <c r="H23" s="23">
        <f>(C23-D23)/$T$2*$H$2</f>
        <v>0</v>
      </c>
      <c r="I23" s="31">
        <f>G23+H23</f>
        <v>0</v>
      </c>
      <c r="J23" s="32">
        <v>10336</v>
      </c>
      <c r="K23" s="33">
        <f>J23-I23</f>
        <v>10336</v>
      </c>
      <c r="L23" s="34">
        <f>F23/$U$2</f>
        <v>0</v>
      </c>
      <c r="M23" s="23">
        <f>G23*$M$2</f>
        <v>0</v>
      </c>
      <c r="N23" s="31">
        <f>L23+M23</f>
        <v>0</v>
      </c>
      <c r="O23" s="28"/>
      <c r="P23" s="35">
        <f>(C23*$H$2+F23)/$T$2</f>
        <v>0</v>
      </c>
      <c r="Q23" s="31">
        <f>(C23-O23)/$T$2</f>
        <v>0</v>
      </c>
      <c r="R23" s="28"/>
      <c r="S23" s="44"/>
      <c r="T23" s="9"/>
      <c r="U23" s="13"/>
      <c r="V23" s="26"/>
      <c r="W23" s="13"/>
      <c r="X23" s="13"/>
      <c r="Y23" s="13"/>
      <c r="Z23" s="13"/>
    </row>
    <row r="24" spans="1:26" ht="15.75" customHeight="1" x14ac:dyDescent="0.3">
      <c r="A24" s="13"/>
      <c r="B24" s="9" t="s">
        <v>25</v>
      </c>
      <c r="C24" s="36">
        <f>SUM(C23:C23)</f>
        <v>0</v>
      </c>
      <c r="D24" s="36"/>
      <c r="E24" s="37">
        <f t="shared" ref="E24:R24" si="34">SUM(E23:E23)</f>
        <v>0</v>
      </c>
      <c r="F24" s="36">
        <f t="shared" si="34"/>
        <v>0</v>
      </c>
      <c r="G24" s="38">
        <f t="shared" si="34"/>
        <v>0</v>
      </c>
      <c r="H24" s="39">
        <f t="shared" si="34"/>
        <v>0</v>
      </c>
      <c r="I24" s="38">
        <f t="shared" si="34"/>
        <v>0</v>
      </c>
      <c r="J24" s="40">
        <f t="shared" si="34"/>
        <v>10336</v>
      </c>
      <c r="K24" s="41">
        <f t="shared" si="34"/>
        <v>10336</v>
      </c>
      <c r="L24" s="42">
        <f t="shared" si="34"/>
        <v>0</v>
      </c>
      <c r="M24" s="39">
        <f t="shared" si="34"/>
        <v>0</v>
      </c>
      <c r="N24" s="38">
        <f t="shared" si="34"/>
        <v>0</v>
      </c>
      <c r="O24" s="36">
        <f t="shared" si="34"/>
        <v>0</v>
      </c>
      <c r="P24" s="43">
        <f t="shared" si="34"/>
        <v>0</v>
      </c>
      <c r="Q24" s="38">
        <f t="shared" si="34"/>
        <v>0</v>
      </c>
      <c r="R24" s="36">
        <f t="shared" si="34"/>
        <v>0</v>
      </c>
      <c r="S24" s="44"/>
      <c r="T24" s="9"/>
      <c r="U24" s="13"/>
      <c r="V24" s="26"/>
      <c r="W24" s="13"/>
      <c r="X24" s="13"/>
      <c r="Y24" s="13"/>
      <c r="Z24" s="13"/>
    </row>
    <row r="25" spans="1:26" ht="15.75" customHeight="1" x14ac:dyDescent="0.3">
      <c r="A25" s="13"/>
      <c r="B25" s="9" t="s">
        <v>32</v>
      </c>
      <c r="C25" s="36"/>
      <c r="D25" s="36"/>
      <c r="E25" s="37"/>
      <c r="F25" s="36"/>
      <c r="G25" s="38"/>
      <c r="H25" s="39"/>
      <c r="I25" s="38"/>
      <c r="J25" s="40"/>
      <c r="K25" s="41"/>
      <c r="L25" s="42"/>
      <c r="M25" s="39"/>
      <c r="N25" s="38"/>
      <c r="O25" s="36"/>
      <c r="P25" s="43"/>
      <c r="Q25" s="38"/>
      <c r="R25" s="36"/>
      <c r="S25" s="44"/>
      <c r="T25" s="9"/>
      <c r="U25" s="13"/>
      <c r="V25" s="26"/>
      <c r="W25" s="13"/>
      <c r="X25" s="13"/>
      <c r="Y25" s="13"/>
      <c r="Z25" s="13"/>
    </row>
    <row r="26" spans="1:26" ht="15.75" customHeight="1" x14ac:dyDescent="0.3">
      <c r="A26" s="13">
        <v>1</v>
      </c>
      <c r="B26" s="60"/>
      <c r="C26" s="28"/>
      <c r="D26" s="29"/>
      <c r="E26" s="30">
        <v>0</v>
      </c>
      <c r="F26" s="28">
        <f>C26-E26</f>
        <v>0</v>
      </c>
      <c r="G26" s="31">
        <f>F26/$T$2</f>
        <v>0</v>
      </c>
      <c r="H26" s="23">
        <f>(C26-D26)/$T$2*$H$2</f>
        <v>0</v>
      </c>
      <c r="I26" s="31">
        <f>G26+H26</f>
        <v>0</v>
      </c>
      <c r="J26" s="32">
        <v>10336</v>
      </c>
      <c r="K26" s="33">
        <f>J26-I26</f>
        <v>10336</v>
      </c>
      <c r="L26" s="34">
        <f>F26/$U$2</f>
        <v>0</v>
      </c>
      <c r="M26" s="23">
        <f>G26*$M$2</f>
        <v>0</v>
      </c>
      <c r="N26" s="31">
        <f>L26+M26</f>
        <v>0</v>
      </c>
      <c r="O26" s="28"/>
      <c r="P26" s="35">
        <f>(C26*$H$2+F26)/$T$2</f>
        <v>0</v>
      </c>
      <c r="Q26" s="31">
        <f>(C26-O26)/$T$2</f>
        <v>0</v>
      </c>
      <c r="R26" s="28"/>
      <c r="S26" s="44"/>
      <c r="T26" s="9"/>
      <c r="U26" s="13"/>
      <c r="V26" s="26"/>
      <c r="W26" s="13"/>
      <c r="X26" s="13"/>
      <c r="Y26" s="13"/>
      <c r="Z26" s="13"/>
    </row>
    <row r="27" spans="1:26" ht="15.75" customHeight="1" x14ac:dyDescent="0.3">
      <c r="A27" s="13"/>
      <c r="B27" s="9" t="s">
        <v>25</v>
      </c>
      <c r="C27" s="36">
        <f>SUM(C26:C26)</f>
        <v>0</v>
      </c>
      <c r="D27" s="29"/>
      <c r="E27" s="37">
        <f t="shared" ref="E27:R27" si="35">SUM(E26:E26)</f>
        <v>0</v>
      </c>
      <c r="F27" s="36">
        <f t="shared" si="35"/>
        <v>0</v>
      </c>
      <c r="G27" s="38">
        <f t="shared" si="35"/>
        <v>0</v>
      </c>
      <c r="H27" s="39">
        <f t="shared" si="35"/>
        <v>0</v>
      </c>
      <c r="I27" s="38">
        <f t="shared" si="35"/>
        <v>0</v>
      </c>
      <c r="J27" s="40">
        <f t="shared" si="35"/>
        <v>10336</v>
      </c>
      <c r="K27" s="41">
        <f t="shared" si="35"/>
        <v>10336</v>
      </c>
      <c r="L27" s="42">
        <f t="shared" si="35"/>
        <v>0</v>
      </c>
      <c r="M27" s="39">
        <f t="shared" si="35"/>
        <v>0</v>
      </c>
      <c r="N27" s="38">
        <f t="shared" si="35"/>
        <v>0</v>
      </c>
      <c r="O27" s="36">
        <f t="shared" si="35"/>
        <v>0</v>
      </c>
      <c r="P27" s="43">
        <f t="shared" si="35"/>
        <v>0</v>
      </c>
      <c r="Q27" s="38">
        <f t="shared" si="35"/>
        <v>0</v>
      </c>
      <c r="R27" s="36">
        <f t="shared" si="35"/>
        <v>0</v>
      </c>
      <c r="S27" s="44"/>
      <c r="T27" s="9"/>
      <c r="U27" s="13"/>
      <c r="V27" s="26"/>
      <c r="W27" s="13"/>
      <c r="X27" s="13"/>
      <c r="Y27" s="13"/>
      <c r="Z27" s="13"/>
    </row>
    <row r="28" spans="1:26" ht="15.75" customHeight="1" x14ac:dyDescent="0.3">
      <c r="A28" s="13"/>
      <c r="B28" s="9" t="s">
        <v>33</v>
      </c>
      <c r="C28" s="36"/>
      <c r="D28" s="48"/>
      <c r="E28" s="37"/>
      <c r="F28" s="36"/>
      <c r="G28" s="38"/>
      <c r="H28" s="39"/>
      <c r="I28" s="38"/>
      <c r="J28" s="40"/>
      <c r="K28" s="41"/>
      <c r="L28" s="42"/>
      <c r="M28" s="39"/>
      <c r="N28" s="38"/>
      <c r="O28" s="36"/>
      <c r="P28" s="43"/>
      <c r="Q28" s="38"/>
      <c r="R28" s="36"/>
      <c r="S28" s="44"/>
      <c r="T28" s="9"/>
      <c r="U28" s="13"/>
      <c r="V28" s="26"/>
      <c r="W28" s="13"/>
      <c r="X28" s="13"/>
      <c r="Y28" s="13"/>
      <c r="Z28" s="13"/>
    </row>
    <row r="29" spans="1:26" ht="15.75" customHeight="1" x14ac:dyDescent="0.3">
      <c r="A29" s="13">
        <v>1</v>
      </c>
      <c r="B29" s="60"/>
      <c r="C29" s="28"/>
      <c r="D29" s="29"/>
      <c r="E29" s="30"/>
      <c r="F29" s="28">
        <f>C29-E29</f>
        <v>0</v>
      </c>
      <c r="G29" s="31">
        <f>F29/$T$2</f>
        <v>0</v>
      </c>
      <c r="H29" s="23">
        <f>(C29-D29)/$T$2*$H$2</f>
        <v>0</v>
      </c>
      <c r="I29" s="31">
        <f>G29+H29</f>
        <v>0</v>
      </c>
      <c r="J29" s="32"/>
      <c r="K29" s="33">
        <f>J29-I29</f>
        <v>0</v>
      </c>
      <c r="L29" s="34">
        <f>F29/$U$2</f>
        <v>0</v>
      </c>
      <c r="M29" s="23">
        <f>G29*$M$2</f>
        <v>0</v>
      </c>
      <c r="N29" s="31">
        <f>L29+M29</f>
        <v>0</v>
      </c>
      <c r="O29" s="28"/>
      <c r="P29" s="35">
        <f>(C29*$H$2+F29)/$T$2</f>
        <v>0</v>
      </c>
      <c r="Q29" s="31">
        <f>(C29-O29)/$T$2</f>
        <v>0</v>
      </c>
      <c r="R29" s="28"/>
      <c r="S29" s="44"/>
      <c r="T29" s="9"/>
      <c r="U29" s="13"/>
      <c r="V29" s="26"/>
      <c r="W29" s="13"/>
      <c r="X29" s="13"/>
      <c r="Y29" s="13"/>
      <c r="Z29" s="13"/>
    </row>
    <row r="30" spans="1:26" ht="15.75" customHeight="1" x14ac:dyDescent="0.3">
      <c r="A30" s="13"/>
      <c r="B30" s="9" t="s">
        <v>25</v>
      </c>
      <c r="C30" s="36">
        <f>SUM(C29:C29)</f>
        <v>0</v>
      </c>
      <c r="D30" s="48"/>
      <c r="E30" s="37">
        <f t="shared" ref="E30:R30" si="36">SUM(E29:E29)</f>
        <v>0</v>
      </c>
      <c r="F30" s="36">
        <f t="shared" si="36"/>
        <v>0</v>
      </c>
      <c r="G30" s="38">
        <f t="shared" si="36"/>
        <v>0</v>
      </c>
      <c r="H30" s="39">
        <f t="shared" si="36"/>
        <v>0</v>
      </c>
      <c r="I30" s="38">
        <f t="shared" si="36"/>
        <v>0</v>
      </c>
      <c r="J30" s="40">
        <f t="shared" si="36"/>
        <v>0</v>
      </c>
      <c r="K30" s="41">
        <f t="shared" si="36"/>
        <v>0</v>
      </c>
      <c r="L30" s="42">
        <f t="shared" si="36"/>
        <v>0</v>
      </c>
      <c r="M30" s="39">
        <f t="shared" si="36"/>
        <v>0</v>
      </c>
      <c r="N30" s="38">
        <f t="shared" si="36"/>
        <v>0</v>
      </c>
      <c r="O30" s="36">
        <f t="shared" si="36"/>
        <v>0</v>
      </c>
      <c r="P30" s="43">
        <f t="shared" si="36"/>
        <v>0</v>
      </c>
      <c r="Q30" s="38">
        <f t="shared" si="36"/>
        <v>0</v>
      </c>
      <c r="R30" s="36">
        <f t="shared" si="36"/>
        <v>0</v>
      </c>
      <c r="S30" s="44"/>
      <c r="T30" s="9"/>
      <c r="U30" s="13"/>
      <c r="V30" s="26"/>
      <c r="W30" s="13"/>
      <c r="X30" s="13"/>
      <c r="Y30" s="13"/>
      <c r="Z30" s="13"/>
    </row>
    <row r="31" spans="1:26" ht="15.75" customHeight="1" x14ac:dyDescent="0.3">
      <c r="A31" s="1"/>
      <c r="B31" s="9" t="s">
        <v>34</v>
      </c>
      <c r="C31" s="36"/>
      <c r="D31" s="36"/>
      <c r="E31" s="37"/>
      <c r="F31" s="28"/>
      <c r="G31" s="31"/>
      <c r="H31" s="23"/>
      <c r="I31" s="31"/>
      <c r="J31" s="32"/>
      <c r="K31" s="33"/>
      <c r="L31" s="34"/>
      <c r="M31" s="23"/>
      <c r="N31" s="31"/>
      <c r="O31" s="28"/>
      <c r="P31" s="35"/>
      <c r="Q31" s="31"/>
      <c r="R31" s="28"/>
      <c r="S31" s="44"/>
      <c r="T31" s="9"/>
      <c r="U31" s="13"/>
      <c r="V31" s="26"/>
      <c r="W31" s="13"/>
      <c r="X31" s="13"/>
      <c r="Y31" s="13"/>
      <c r="Z31" s="13"/>
    </row>
    <row r="32" spans="1:26" ht="15.75" customHeight="1" x14ac:dyDescent="0.3">
      <c r="A32" s="13">
        <v>1</v>
      </c>
      <c r="B32" s="27" t="s">
        <v>35</v>
      </c>
      <c r="C32" s="28">
        <v>18487</v>
      </c>
      <c r="D32" s="29"/>
      <c r="E32" s="30">
        <v>0</v>
      </c>
      <c r="F32" s="28">
        <f t="shared" ref="F32" si="37">C32-E32</f>
        <v>18487</v>
      </c>
      <c r="G32" s="31">
        <f t="shared" ref="G32" si="38">F32/$T$2</f>
        <v>3081.1666666666665</v>
      </c>
      <c r="H32" s="23">
        <f t="shared" ref="H32" si="39">(C32-D32)/$T$2*$H$2</f>
        <v>184.86999999999998</v>
      </c>
      <c r="I32" s="31">
        <f t="shared" ref="I32" si="40">G32+H32</f>
        <v>3266.0366666666664</v>
      </c>
      <c r="J32" s="32">
        <v>10336</v>
      </c>
      <c r="K32" s="33">
        <f t="shared" ref="K32" si="41">J32-I32</f>
        <v>7069.9633333333331</v>
      </c>
      <c r="L32" s="34">
        <f t="shared" ref="L32" si="42">F32/$U$2</f>
        <v>3044.631093544137</v>
      </c>
      <c r="M32" s="23">
        <f t="shared" ref="M32" si="43">G32*$M$2</f>
        <v>0.42935011066444045</v>
      </c>
      <c r="N32" s="31">
        <f t="shared" ref="N32" si="44">L32+M32</f>
        <v>3045.0604436548015</v>
      </c>
      <c r="O32" s="28">
        <v>18487</v>
      </c>
      <c r="P32" s="35">
        <f t="shared" ref="P32" si="45">(C32*$H$2+F32)/$T$2</f>
        <v>3266.0366666666669</v>
      </c>
      <c r="Q32" s="31">
        <f t="shared" ref="Q32" si="46">(C32-O32)/$T$2</f>
        <v>0</v>
      </c>
      <c r="R32" s="28">
        <v>3081</v>
      </c>
      <c r="S32" s="44"/>
      <c r="T32" s="9"/>
      <c r="U32" s="13"/>
      <c r="V32" s="26"/>
      <c r="W32" s="13"/>
      <c r="X32" s="13"/>
      <c r="Y32" s="13"/>
      <c r="Z32" s="13"/>
    </row>
    <row r="33" spans="1:26" ht="15.75" customHeight="1" x14ac:dyDescent="0.3">
      <c r="A33" s="13"/>
      <c r="B33" s="9" t="s">
        <v>25</v>
      </c>
      <c r="C33" s="36">
        <f>SUM(C32:C32)</f>
        <v>18487</v>
      </c>
      <c r="D33" s="36"/>
      <c r="E33" s="37">
        <f t="shared" ref="E33:R33" si="47">SUM(E32:E32)</f>
        <v>0</v>
      </c>
      <c r="F33" s="36">
        <f t="shared" si="47"/>
        <v>18487</v>
      </c>
      <c r="G33" s="38">
        <f t="shared" si="47"/>
        <v>3081.1666666666665</v>
      </c>
      <c r="H33" s="39">
        <f t="shared" si="47"/>
        <v>184.86999999999998</v>
      </c>
      <c r="I33" s="38">
        <f t="shared" si="47"/>
        <v>3266.0366666666664</v>
      </c>
      <c r="J33" s="40">
        <f t="shared" si="47"/>
        <v>10336</v>
      </c>
      <c r="K33" s="41">
        <f t="shared" si="47"/>
        <v>7069.9633333333331</v>
      </c>
      <c r="L33" s="42">
        <f t="shared" si="47"/>
        <v>3044.631093544137</v>
      </c>
      <c r="M33" s="39">
        <f t="shared" si="47"/>
        <v>0.42935011066444045</v>
      </c>
      <c r="N33" s="38">
        <f t="shared" si="47"/>
        <v>3045.0604436548015</v>
      </c>
      <c r="O33" s="36">
        <f t="shared" si="47"/>
        <v>18487</v>
      </c>
      <c r="P33" s="43">
        <f t="shared" si="47"/>
        <v>3266.0366666666669</v>
      </c>
      <c r="Q33" s="38">
        <f t="shared" si="47"/>
        <v>0</v>
      </c>
      <c r="R33" s="36">
        <f t="shared" si="47"/>
        <v>3081</v>
      </c>
      <c r="S33" s="13"/>
      <c r="T33" s="13"/>
      <c r="U33" s="13"/>
      <c r="V33" s="13"/>
      <c r="W33" s="13"/>
      <c r="X33" s="13"/>
      <c r="Y33" s="13"/>
      <c r="Z33" s="13"/>
    </row>
    <row r="34" spans="1:26" ht="15.75" customHeight="1" x14ac:dyDescent="0.3">
      <c r="A34" s="13"/>
      <c r="B34" s="9"/>
      <c r="C34" s="13"/>
      <c r="D34" s="13"/>
      <c r="E34" s="26"/>
      <c r="F34" s="13"/>
      <c r="G34" s="13"/>
      <c r="H34" s="13"/>
      <c r="I34" s="13"/>
      <c r="J34" s="49"/>
      <c r="K34" s="50"/>
      <c r="L34" s="13"/>
      <c r="M34" s="13"/>
      <c r="N34" s="13"/>
      <c r="O34" s="13"/>
      <c r="P34" s="21"/>
      <c r="Q34" s="13"/>
      <c r="R34" s="36"/>
      <c r="S34" s="44"/>
      <c r="T34" s="13"/>
      <c r="U34" s="13"/>
      <c r="V34" s="13"/>
      <c r="W34" s="13"/>
      <c r="X34" s="13"/>
      <c r="Y34" s="13"/>
      <c r="Z34" s="13"/>
    </row>
    <row r="35" spans="1:26" ht="15.75" customHeight="1" x14ac:dyDescent="0.3">
      <c r="A35" s="13"/>
      <c r="B35" s="9" t="s">
        <v>36</v>
      </c>
      <c r="C35" s="47">
        <f>SUM(C7,C15,C18,C21,C24,C27,C30,C33)</f>
        <v>500109</v>
      </c>
      <c r="D35" s="36"/>
      <c r="E35" s="37">
        <f t="shared" ref="E35:R35" si="48">SUM(E7,E15,E18,E21,E24,E27,E30,E33)</f>
        <v>69528</v>
      </c>
      <c r="F35" s="47">
        <f t="shared" si="48"/>
        <v>430581</v>
      </c>
      <c r="G35" s="38">
        <f t="shared" si="48"/>
        <v>71763.5</v>
      </c>
      <c r="H35" s="39">
        <f t="shared" si="48"/>
        <v>4973.0899999999992</v>
      </c>
      <c r="I35" s="38">
        <f t="shared" si="48"/>
        <v>76736.59</v>
      </c>
      <c r="J35" s="40">
        <f t="shared" si="48"/>
        <v>31008</v>
      </c>
      <c r="K35" s="41">
        <f t="shared" si="48"/>
        <v>-45728.59</v>
      </c>
      <c r="L35" s="42">
        <f t="shared" si="48"/>
        <v>70912.549407114624</v>
      </c>
      <c r="M35" s="39">
        <f t="shared" si="48"/>
        <v>10.000000000000293</v>
      </c>
      <c r="N35" s="38">
        <f t="shared" si="48"/>
        <v>70922.549407114624</v>
      </c>
      <c r="O35" s="47">
        <f t="shared" si="48"/>
        <v>500109</v>
      </c>
      <c r="P35" s="43">
        <f t="shared" si="48"/>
        <v>76764.59</v>
      </c>
      <c r="Q35" s="38">
        <f t="shared" si="48"/>
        <v>0</v>
      </c>
      <c r="R35" s="36">
        <f t="shared" si="48"/>
        <v>75875</v>
      </c>
      <c r="S35" s="13"/>
      <c r="T35" s="13"/>
      <c r="U35" s="13"/>
      <c r="V35" s="13"/>
      <c r="W35" s="13"/>
      <c r="X35" s="13"/>
      <c r="Y35" s="13"/>
      <c r="Z35" s="13"/>
    </row>
    <row r="36" spans="1:26" ht="15.75" customHeight="1" x14ac:dyDescent="0.3">
      <c r="A36" s="13"/>
      <c r="B36" s="9" t="s">
        <v>37</v>
      </c>
      <c r="C36" s="13"/>
      <c r="D36" s="13"/>
      <c r="E36" s="13"/>
      <c r="F36" s="47">
        <v>0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36"/>
      <c r="S36" s="13"/>
      <c r="T36" s="13"/>
      <c r="U36" s="13"/>
      <c r="V36" s="13"/>
      <c r="W36" s="13"/>
      <c r="X36" s="13"/>
      <c r="Y36" s="13"/>
      <c r="Z36" s="13"/>
    </row>
    <row r="37" spans="1:26" ht="15.75" customHeight="1" x14ac:dyDescent="0.3">
      <c r="A37" s="13"/>
      <c r="B37" s="9" t="s">
        <v>38</v>
      </c>
      <c r="C37" s="13">
        <v>840181440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36"/>
      <c r="S37" s="13"/>
      <c r="T37" s="13"/>
      <c r="U37" s="13"/>
      <c r="V37" s="13"/>
      <c r="W37" s="13"/>
      <c r="X37" s="13"/>
      <c r="Y37" s="13"/>
      <c r="Z37" s="13"/>
    </row>
    <row r="38" spans="1:26" ht="15.75" customHeight="1" x14ac:dyDescent="0.3">
      <c r="A38" s="13"/>
      <c r="B38" s="9" t="s">
        <v>39</v>
      </c>
      <c r="C38" s="13" t="s">
        <v>40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36"/>
      <c r="S38" s="13"/>
      <c r="T38" s="13"/>
      <c r="U38" s="13"/>
      <c r="V38" s="13"/>
      <c r="W38" s="13"/>
      <c r="X38" s="13"/>
      <c r="Y38" s="13"/>
      <c r="Z38" s="13"/>
    </row>
    <row r="39" spans="1:26" ht="15.75" customHeight="1" x14ac:dyDescent="0.3">
      <c r="A39" s="13"/>
      <c r="B39" s="9" t="s">
        <v>41</v>
      </c>
      <c r="C39" s="13" t="s">
        <v>42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 x14ac:dyDescent="0.3">
      <c r="A40" s="13"/>
      <c r="B40" s="13"/>
      <c r="C40" s="13" t="s">
        <v>43</v>
      </c>
      <c r="D40" s="13"/>
      <c r="E40" s="13" t="s">
        <v>44</v>
      </c>
      <c r="F40" s="13" t="s">
        <v>45</v>
      </c>
      <c r="G40" s="13" t="s">
        <v>46</v>
      </c>
      <c r="H40" s="13" t="s">
        <v>47</v>
      </c>
      <c r="I40" s="13" t="s">
        <v>48</v>
      </c>
      <c r="J40" s="13"/>
      <c r="K40" s="13"/>
      <c r="L40" s="13" t="s">
        <v>49</v>
      </c>
      <c r="M40" s="13"/>
      <c r="N40" s="13" t="s">
        <v>50</v>
      </c>
      <c r="O40" s="13" t="s">
        <v>51</v>
      </c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 x14ac:dyDescent="0.3">
      <c r="A41" s="13"/>
      <c r="B41" s="9" t="s">
        <v>52</v>
      </c>
      <c r="C41" s="47">
        <f>F35+F36</f>
        <v>430581</v>
      </c>
      <c r="D41" s="51"/>
      <c r="E41" s="47">
        <f>C41</f>
        <v>430581</v>
      </c>
      <c r="F41" s="48">
        <f>E41/T2</f>
        <v>71763.5</v>
      </c>
      <c r="G41" s="52">
        <f>E41/U2</f>
        <v>70912.549407114624</v>
      </c>
      <c r="H41" s="37">
        <f>F41-G41</f>
        <v>850.95059288537595</v>
      </c>
      <c r="I41" s="39">
        <f>H35</f>
        <v>4973.0899999999992</v>
      </c>
      <c r="J41" s="39"/>
      <c r="K41" s="39"/>
      <c r="L41" s="48">
        <f>M35</f>
        <v>10.000000000000293</v>
      </c>
      <c r="M41" s="13"/>
      <c r="N41" s="48">
        <f>(H7+H15)/6</f>
        <v>676.62333333333333</v>
      </c>
      <c r="O41" s="53">
        <f>H15-N41</f>
        <v>2049.0566666666664</v>
      </c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 x14ac:dyDescent="0.3">
      <c r="A42" s="13"/>
      <c r="B42" s="9" t="s">
        <v>53</v>
      </c>
      <c r="C42" s="39">
        <f>H41+I41-L41-N41</f>
        <v>5137.4172595520422</v>
      </c>
      <c r="D42" s="39"/>
      <c r="E42" s="39"/>
      <c r="F42" s="39"/>
      <c r="G42" s="13"/>
      <c r="H42" s="13"/>
      <c r="I42" s="53"/>
      <c r="J42" s="53"/>
      <c r="K42" s="53"/>
      <c r="L42" s="53"/>
      <c r="M42" s="13"/>
      <c r="N42" s="13"/>
      <c r="O42" s="53">
        <f>I15-N41</f>
        <v>42477.056666666656</v>
      </c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 x14ac:dyDescent="0.3">
      <c r="A43" s="13"/>
      <c r="B43" s="9" t="s">
        <v>54</v>
      </c>
      <c r="C43" s="53">
        <f>E44/U2+R35-G41</f>
        <v>5621.2121212121274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 x14ac:dyDescent="0.3">
      <c r="A44" s="13"/>
      <c r="B44" s="9" t="s">
        <v>55</v>
      </c>
      <c r="C44" s="13"/>
      <c r="D44" s="13"/>
      <c r="E44" s="51">
        <v>4000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 x14ac:dyDescent="0.3">
      <c r="A45" s="13"/>
      <c r="B45" s="9" t="s">
        <v>53</v>
      </c>
      <c r="C45" s="13"/>
      <c r="D45" s="13"/>
      <c r="E45" s="47">
        <f>E41-E44</f>
        <v>426581</v>
      </c>
      <c r="F45" s="13"/>
      <c r="G45" s="52">
        <f>E45/U2</f>
        <v>70253.787878787873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"/>
      <c r="Q47" s="1"/>
      <c r="R47" s="1"/>
      <c r="S47" s="13"/>
      <c r="T47" s="13"/>
      <c r="U47" s="13"/>
      <c r="V47" s="13"/>
      <c r="W47" s="13"/>
      <c r="X47" s="13"/>
      <c r="Y47" s="13"/>
      <c r="Z47" s="13"/>
    </row>
    <row r="48" spans="1:26" ht="15.75" customHeight="1" x14ac:dyDescent="0.3">
      <c r="A48" s="13"/>
      <c r="B48" s="13"/>
      <c r="C48" s="13"/>
      <c r="D48" s="13"/>
      <c r="E48" s="1"/>
      <c r="F48" s="1"/>
      <c r="G48" s="1"/>
      <c r="H48" s="1"/>
      <c r="I48" s="1"/>
      <c r="J48" s="1"/>
      <c r="K48" s="1"/>
      <c r="L48" s="1"/>
      <c r="M48" s="13"/>
      <c r="N48" s="13"/>
      <c r="O48" s="13"/>
      <c r="P48" s="13"/>
      <c r="Q48" s="13"/>
      <c r="R48" s="56"/>
      <c r="S48" s="13"/>
      <c r="T48" s="13"/>
      <c r="U48" s="13"/>
      <c r="V48" s="13"/>
      <c r="W48" s="13"/>
      <c r="X48" s="13"/>
      <c r="Y48" s="13"/>
      <c r="Z48" s="13"/>
    </row>
    <row r="49" spans="1:26" ht="15.7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56"/>
      <c r="S49" s="13"/>
      <c r="T49" s="13"/>
      <c r="U49" s="13"/>
      <c r="V49" s="13"/>
      <c r="W49" s="13"/>
      <c r="X49" s="13"/>
      <c r="Y49" s="13"/>
      <c r="Z49" s="13"/>
    </row>
    <row r="50" spans="1:26" ht="15.7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"/>
      <c r="Q51" s="1"/>
      <c r="R51" s="56"/>
      <c r="S51" s="13"/>
      <c r="T51" s="13"/>
      <c r="U51" s="13"/>
      <c r="V51" s="13"/>
      <c r="W51" s="13"/>
      <c r="X51" s="13"/>
      <c r="Y51" s="13"/>
      <c r="Z51" s="13"/>
    </row>
    <row r="52" spans="1:26" ht="15.7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57"/>
      <c r="S52" s="13"/>
      <c r="T52" s="13"/>
      <c r="U52" s="13"/>
      <c r="V52" s="13"/>
      <c r="W52" s="13"/>
      <c r="X52" s="13"/>
      <c r="Y52" s="13"/>
      <c r="Z52" s="13"/>
    </row>
    <row r="53" spans="1:26" ht="15.7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 x14ac:dyDescent="0.3">
      <c r="A56" s="13"/>
      <c r="B56" s="13"/>
      <c r="C56" s="13"/>
      <c r="D56" s="13"/>
      <c r="E56" s="1"/>
      <c r="F56" s="54"/>
      <c r="G56" s="1"/>
      <c r="H56" s="1"/>
      <c r="I56" s="1"/>
      <c r="J56" s="1"/>
      <c r="K56" s="1"/>
      <c r="L56" s="54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 x14ac:dyDescent="0.3">
      <c r="A57" s="13"/>
      <c r="B57" s="13"/>
      <c r="C57" s="13"/>
      <c r="D57" s="13"/>
      <c r="E57" s="13"/>
      <c r="F57" s="13"/>
      <c r="G57" s="13"/>
      <c r="H57" s="13"/>
      <c r="I57" s="9"/>
      <c r="J57" s="9"/>
      <c r="K57" s="9"/>
      <c r="L57" s="55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 x14ac:dyDescent="0.3">
      <c r="A58" s="13"/>
      <c r="B58" s="13"/>
      <c r="C58" s="13"/>
      <c r="D58" s="13"/>
      <c r="E58" s="53"/>
      <c r="F58" s="13"/>
      <c r="G58" s="13"/>
      <c r="H58" s="13"/>
      <c r="I58" s="13"/>
      <c r="J58" s="13"/>
      <c r="K58" s="13"/>
      <c r="L58" s="5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 x14ac:dyDescent="0.3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 x14ac:dyDescent="0.3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 x14ac:dyDescent="0.3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 x14ac:dyDescent="0.3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 x14ac:dyDescent="0.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 x14ac:dyDescent="0.3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 x14ac:dyDescent="0.3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 x14ac:dyDescent="0.3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 x14ac:dyDescent="0.3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 x14ac:dyDescent="0.3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 x14ac:dyDescent="0.3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 x14ac:dyDescent="0.3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 x14ac:dyDescent="0.3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 x14ac:dyDescent="0.3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 x14ac:dyDescent="0.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 x14ac:dyDescent="0.3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 x14ac:dyDescent="0.3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 x14ac:dyDescent="0.3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 x14ac:dyDescent="0.3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 x14ac:dyDescent="0.3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 x14ac:dyDescent="0.3"/>
    <row r="260" spans="1:26" ht="15.75" customHeight="1" x14ac:dyDescent="0.3"/>
    <row r="261" spans="1:26" ht="15.75" customHeight="1" x14ac:dyDescent="0.3"/>
    <row r="262" spans="1:26" ht="15.75" customHeight="1" x14ac:dyDescent="0.3"/>
    <row r="263" spans="1:26" ht="15.75" customHeight="1" x14ac:dyDescent="0.3"/>
    <row r="264" spans="1:26" ht="15.75" customHeight="1" x14ac:dyDescent="0.3"/>
    <row r="265" spans="1:26" ht="15.75" customHeight="1" x14ac:dyDescent="0.3"/>
    <row r="266" spans="1:26" ht="15.75" customHeight="1" x14ac:dyDescent="0.3"/>
    <row r="267" spans="1:26" ht="15.75" customHeight="1" x14ac:dyDescent="0.3"/>
    <row r="268" spans="1:26" ht="15.75" customHeight="1" x14ac:dyDescent="0.3"/>
    <row r="269" spans="1:26" ht="15.75" customHeight="1" x14ac:dyDescent="0.3"/>
    <row r="270" spans="1:26" ht="15.75" customHeight="1" x14ac:dyDescent="0.3"/>
    <row r="271" spans="1:26" ht="15.75" customHeight="1" x14ac:dyDescent="0.3"/>
    <row r="272" spans="1:26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2026.05.03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 Балановский</dc:creator>
  <cp:lastModifiedBy>Илья Балановский</cp:lastModifiedBy>
  <dcterms:created xsi:type="dcterms:W3CDTF">2022-05-18T16:25:00Z</dcterms:created>
  <dcterms:modified xsi:type="dcterms:W3CDTF">2026-05-05T12:04:24Z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9882C29EC8664ED883304E4549CDC298_12</vt:lpwstr>
  </property>
  <property fmtid="{D5CDD505-2E9C-101B-9397-08002B2CF9AE}" pid="3" name="KSOProductBuildVer">
    <vt:lpwstr>1049-12.2.0.18283</vt:lpwstr>
  </property>
</Properties>
</file>